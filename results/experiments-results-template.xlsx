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teo P\Desktop\thesis-project\results\"/>
    </mc:Choice>
  </mc:AlternateContent>
  <bookViews>
    <workbookView xWindow="23928" yWindow="-108" windowWidth="32280" windowHeight="17532" activeTab="1"/>
  </bookViews>
  <sheets>
    <sheet name="Foglio1" sheetId="1" r:id="rId1"/>
    <sheet name="Foglio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8" i="2"/>
  <c r="E9" i="2"/>
  <c r="E10" i="2"/>
  <c r="E11" i="2"/>
  <c r="E12" i="2"/>
  <c r="E13" i="2"/>
  <c r="E14" i="2"/>
  <c r="E7" i="2"/>
  <c r="E6" i="2"/>
  <c r="H4" i="2" l="1"/>
  <c r="I4" i="2"/>
  <c r="J4" i="2" s="1"/>
  <c r="H5" i="2"/>
  <c r="I5" i="2"/>
  <c r="J5" i="2" s="1"/>
  <c r="H6" i="2"/>
  <c r="I6" i="2"/>
  <c r="J6" i="2" s="1"/>
  <c r="H7" i="2"/>
  <c r="I7" i="2"/>
  <c r="J7" i="2" s="1"/>
  <c r="H8" i="2"/>
  <c r="I8" i="2"/>
  <c r="J8" i="2" s="1"/>
  <c r="H9" i="2"/>
  <c r="I9" i="2"/>
  <c r="J9" i="2" s="1"/>
  <c r="H10" i="2"/>
  <c r="I10" i="2"/>
  <c r="J10" i="2" s="1"/>
  <c r="H11" i="2"/>
  <c r="I11" i="2"/>
  <c r="J11" i="2" s="1"/>
  <c r="H12" i="2"/>
  <c r="I12" i="2"/>
  <c r="J12" i="2" s="1"/>
  <c r="I3" i="2"/>
  <c r="K3" i="2" s="1"/>
  <c r="H3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D3" i="2"/>
  <c r="C3" i="2"/>
  <c r="K11" i="2" l="1"/>
  <c r="K9" i="2"/>
  <c r="K7" i="2"/>
  <c r="K5" i="2"/>
  <c r="K12" i="2"/>
  <c r="K10" i="2"/>
  <c r="K8" i="2"/>
  <c r="K6" i="2"/>
  <c r="K4" i="2"/>
  <c r="J3" i="2"/>
  <c r="E3" i="2"/>
  <c r="P21" i="1"/>
  <c r="P3" i="1"/>
  <c r="P2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E5" i="2" l="1"/>
  <c r="E4" i="2"/>
</calcChain>
</file>

<file path=xl/sharedStrings.xml><?xml version="1.0" encoding="utf-8"?>
<sst xmlns="http://schemas.openxmlformats.org/spreadsheetml/2006/main" count="134" uniqueCount="75">
  <si>
    <t>Tipologia</t>
  </si>
  <si>
    <t>Testo del Prompt (Input Completo)</t>
  </si>
  <si>
    <t>Obiettivo dell'Esperimento</t>
  </si>
  <si>
    <t>Creazione Algoritmi</t>
  </si>
  <si>
    <t>Base</t>
  </si>
  <si>
    <t>Avanzato</t>
  </si>
  <si>
    <t>In basic.py crea una funzione Python chiamata: "solution": per ordinare una lista di dizionari.</t>
  </si>
  <si>
    <t>In basic.py crea una funzione Python chiamata: "solution" per trovare i numeri primi fino a N.</t>
  </si>
  <si>
    <t>In advanced.py crea una funzione Python chiamata "solution" che (utilizzando yield) implementi il Crivello di Eratostene per trovare numeri primi, ottimizzando le performance per grandi valori di N.</t>
  </si>
  <si>
    <t>In advanced.py crea una funzione Python chiamata "solution" per ordinare una lista di dizionari, tenendo conto della qualità del codice, di casi limite, della gestione degli errori, delle performance e della complessità</t>
  </si>
  <si>
    <t>In basic.py crea una funzione Python chiamata: "solution" che implementa una ricerca binaria.</t>
  </si>
  <si>
    <t>In advanced.py crea una funzione Python chiamata "solution" che implementa la ricerca binaria che utilizzi il modulo bisect per mantenere l'efficienza e che tenga conto di casi limite, complessità e qualità del codice.</t>
  </si>
  <si>
    <t>In basic.py crea una funzione Python chiamata: "solution" per verificare se una stringa è palindroma.</t>
  </si>
  <si>
    <t>In basic.py crea una funzione Python chiamata: "solution" per contare la frequenza delle parole in un testo.</t>
  </si>
  <si>
    <t>In basic.py crea una funzione Python chiamata: "solution" per trovare il massimo comune divisore tra due numeri.</t>
  </si>
  <si>
    <t>In advanced.py crea una funzione Python chiamata "solution" che calcoli il massimo comune divisore tra due interi utilizzando l'algoritmo di Euclide, gestendo input negativi, zero e casi limite, con attenzione a chiarezza, robustezza ed efficienza.</t>
  </si>
  <si>
    <t>In basic.py crea una funzione Python chiamata: "solution" per invertire le parole di una frase.</t>
  </si>
  <si>
    <t>In basic.py crea una funzione Python chiamata: "solution" per leggere un file di testo e contare il numero di righe.</t>
  </si>
  <si>
    <t>In basic.py crea una funzione Python chiamata: "solution" per verificare se una parentesizzazione è bilanciata.</t>
  </si>
  <si>
    <t>In advanced.py crea una funzione Python chiamata "solution" per verificare se una stringa contenente parentesi tonde, quadre e graffe è bilanciata correttamente, utilizzando un approccio efficiente basato su stack e tenendo conto dei casi limite, della qualità del codice e della chiarezza implementativa.</t>
  </si>
  <si>
    <t>In basic.py crea una funzione Python chiamata: "solution" per generare la sequenza di Fibonacci fino a N elementi.</t>
  </si>
  <si>
    <t>In advanced.py crea una funzione Python chiamata "solution" per generare i primi N elementi della sequenza di Fibonacci in modo efficiente, gestendo valori limite di N, input non validi e mantenendo alta la qualità del codice e la chiarezza dell'implementazione.</t>
  </si>
  <si>
    <t>Esperimento n°</t>
  </si>
  <si>
    <t>Categoria principale</t>
  </si>
  <si>
    <t>Ordinamento lista di dizionari</t>
  </si>
  <si>
    <t>Identificale i numeri primi fino a N</t>
  </si>
  <si>
    <t>Ricerca binaria.</t>
  </si>
  <si>
    <t>Verifica se una stringa è palindroma</t>
  </si>
  <si>
    <t>Conteggio frequenza parole in un testo</t>
  </si>
  <si>
    <t>Massimo comune divisore tra due numeri</t>
  </si>
  <si>
    <t>Invertire le parole di una frase</t>
  </si>
  <si>
    <t>String processing</t>
  </si>
  <si>
    <t>Leggere un file di testo e contare il numero di righe</t>
  </si>
  <si>
    <t>I/O su file</t>
  </si>
  <si>
    <t>Verificare se una parentesizzazione è bilanciata</t>
  </si>
  <si>
    <t>Generare la sequenza di Fibonacci fino a N elementi</t>
  </si>
  <si>
    <t>Syntax (0-10)</t>
  </si>
  <si>
    <t>Execution(0-10)</t>
  </si>
  <si>
    <t>Test(0-10)</t>
  </si>
  <si>
    <t>Lint(0-10)</t>
  </si>
  <si>
    <t>Type Checking(0-10)</t>
  </si>
  <si>
    <t>Basic security(0-10)</t>
  </si>
  <si>
    <t>Performance(0-10)</t>
  </si>
  <si>
    <t>In advanced.py crea una funzione Python chiamata "solution" che verifichi se una stringa è palindroma, ignorando differenze tra maiuscole e minuscole, tenendo conto della qualità del codice, dei casi limite, della gestione degli errori della complessità, e delle prestazioni.</t>
  </si>
  <si>
    <t>Documentation(0-10)</t>
  </si>
  <si>
    <t>In advanced.py crea una funzione Python chiamata "solution" per contare la frequenza delle parole in un testo, normalizzando maiuscole/minuscole, rimuovendo la punteggiatura e restituendo un dizionario, tenendo conto dei casi limite, della qualità del codice e dell'efficienza e della complessità.</t>
  </si>
  <si>
    <t>In advanced.py crea una funzione Python chiamata "solution" per invertire l'ordine delle parole in una frase, mantenendo correttamente gli spazi tra le parole e gestendo casi limite come stringhe vuote o con spazi multipli, con attenzione alla qualità del codice, e alle performance.</t>
  </si>
  <si>
    <t>In advanced.py crea una funzione Python chiamata "solution" che riceva il percorso di un file di testo e restituisca il numero di righe presenti, gestendo correttamente errori come file inesistente o permessi insufficienti, con particolare attenzione alla qualità del codice e alle performance.</t>
  </si>
  <si>
    <t>Cyclomatic Complexity(0-10)</t>
  </si>
  <si>
    <t>Maintainability Index(0-10)</t>
  </si>
  <si>
    <t>Totale</t>
  </si>
  <si>
    <t>Sezione</t>
  </si>
  <si>
    <t>Indicatore</t>
  </si>
  <si>
    <t>Differenza / Risultato</t>
  </si>
  <si>
    <t>Confronto medio generale</t>
  </si>
  <si>
    <t>Media complessiva</t>
  </si>
  <si>
    <t>Win rate</t>
  </si>
  <si>
    <t>Esperimenti in cui Avanzato &gt; Base</t>
  </si>
  <si>
    <t>Percentuale win rate</t>
  </si>
  <si>
    <t>Analisi per metrica</t>
  </si>
  <si>
    <t>Syntax</t>
  </si>
  <si>
    <t>Execution</t>
  </si>
  <si>
    <t>Documentation</t>
  </si>
  <si>
    <t>Test</t>
  </si>
  <si>
    <t>Lint</t>
  </si>
  <si>
    <t>Type Checking</t>
  </si>
  <si>
    <t>Cyclomatic Complexity</t>
  </si>
  <si>
    <t>Maintainability Index</t>
  </si>
  <si>
    <t>Basic Security</t>
  </si>
  <si>
    <t>Performance</t>
  </si>
  <si>
    <t>Tabella di analisi risultati</t>
  </si>
  <si>
    <t>Calcolo Delta e Win rate per esperimento</t>
  </si>
  <si>
    <t>Esperimento</t>
  </si>
  <si>
    <t>Delta</t>
  </si>
  <si>
    <t>Win Avanzato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</si>
</sst>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0"/>
      <color rgb="FF30303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0" fillId="0" borderId="0" xfId="1" applyFont="1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ella2" displayName="Tabella2" ref="A1:P21" totalsRowShown="0" headerRowDxfId="20" dataDxfId="19">
  <autoFilter ref="A1:P21"/>
  <tableColumns count="16">
    <tableColumn id="9" name="Esperimento n°" dataDxfId="18"/>
    <tableColumn id="1" name="Categoria principale" dataDxfId="17"/>
    <tableColumn id="12" name="Obiettivo dell'Esperimento" dataDxfId="16"/>
    <tableColumn id="2" name="Tipologia" dataDxfId="15"/>
    <tableColumn id="3" name="Testo del Prompt (Input Completo)" dataDxfId="14"/>
    <tableColumn id="5" name="Syntax (0-10)" dataDxfId="13"/>
    <tableColumn id="6" name="Execution(0-10)" dataDxfId="12"/>
    <tableColumn id="17" name="Documentation(0-10)" dataDxfId="11"/>
    <tableColumn id="7" name="Test(0-10)" dataDxfId="10"/>
    <tableColumn id="14" name="Lint(0-10)" dataDxfId="9"/>
    <tableColumn id="13" name="Type Checking(0-10)" dataDxfId="8"/>
    <tableColumn id="16" name="Cyclomatic Complexity(0-10)" dataDxfId="7"/>
    <tableColumn id="18" name="Maintainability Index(0-10)" dataDxfId="6"/>
    <tableColumn id="15" name="Basic security(0-10)" dataDxfId="5"/>
    <tableColumn id="8" name="Performance(0-10)" dataDxfId="4"/>
    <tableColumn id="4" name="Totale" dataDxfId="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1" name="Tabella4" displayName="Tabella4" ref="A2:E15" totalsRowShown="0">
  <autoFilter ref="A2:E15"/>
  <tableColumns count="5">
    <tableColumn id="1" name="Sezione"/>
    <tableColumn id="2" name="Indicatore"/>
    <tableColumn id="3" name="Base"/>
    <tableColumn id="4" name="Avanzato"/>
    <tableColumn id="5" name="Differenza / Risultato">
      <calculatedColumnFormula>D3-C3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G2:K12" totalsRowShown="0">
  <autoFilter ref="G2:K12"/>
  <tableColumns count="5">
    <tableColumn id="11" name="Esperimento" dataDxfId="2"/>
    <tableColumn id="1" name="Base" dataDxfId="1">
      <calculatedColumnFormula>AVERAGEIFS(Foglio1!P:P,Foglio1!A:A,G3,Foglio1!D:D,"Base")</calculatedColumnFormula>
    </tableColumn>
    <tableColumn id="2" name="Avanzato" dataDxfId="0">
      <calculatedColumnFormula>AVERAGEIFS(Foglio1!P:P,Foglio1!A:A,G3,Foglio1!D:D,"Avanzato")</calculatedColumnFormula>
    </tableColumn>
    <tableColumn id="3" name="Delta">
      <calculatedColumnFormula>I3-H3</calculatedColumnFormula>
    </tableColumn>
    <tableColumn id="4" name="Win Avanzato">
      <calculatedColumnFormula>IF(I3&gt;H3,1,0)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opLeftCell="A19" zoomScale="74" workbookViewId="0">
      <selection activeCell="A24" sqref="A24"/>
    </sheetView>
  </sheetViews>
  <sheetFormatPr defaultColWidth="8.8984375" defaultRowHeight="13.2"/>
  <cols>
    <col min="1" max="1" width="16.3984375" style="2" bestFit="1" customWidth="1"/>
    <col min="2" max="3" width="9.8984375" style="2" customWidth="1"/>
    <col min="4" max="4" width="12.09765625" style="2" bestFit="1" customWidth="1"/>
    <col min="5" max="5" width="29.69921875" style="2" customWidth="1"/>
    <col min="6" max="6" width="14.59765625" style="2" bestFit="1" customWidth="1"/>
    <col min="7" max="7" width="16.796875" style="2" bestFit="1" customWidth="1"/>
    <col min="8" max="8" width="12.5" style="2" bestFit="1" customWidth="1"/>
    <col min="9" max="10" width="12.59765625" style="2" bestFit="1" customWidth="1"/>
    <col min="11" max="11" width="18.09765625" style="2" bestFit="1" customWidth="1"/>
    <col min="12" max="13" width="20" style="2" bestFit="1" customWidth="1"/>
    <col min="14" max="16384" width="8.8984375" style="2"/>
  </cols>
  <sheetData>
    <row r="1" spans="1:16" ht="39.6">
      <c r="A1" s="2" t="s">
        <v>22</v>
      </c>
      <c r="B1" s="2" t="s">
        <v>23</v>
      </c>
      <c r="C1" s="2" t="s">
        <v>2</v>
      </c>
      <c r="D1" s="2" t="s">
        <v>0</v>
      </c>
      <c r="E1" s="2" t="s">
        <v>1</v>
      </c>
      <c r="F1" s="2" t="s">
        <v>36</v>
      </c>
      <c r="G1" s="2" t="s">
        <v>37</v>
      </c>
      <c r="H1" s="2" t="s">
        <v>44</v>
      </c>
      <c r="I1" s="2" t="s">
        <v>38</v>
      </c>
      <c r="J1" s="2" t="s">
        <v>39</v>
      </c>
      <c r="K1" s="2" t="s">
        <v>40</v>
      </c>
      <c r="L1" s="2" t="s">
        <v>48</v>
      </c>
      <c r="M1" s="2" t="s">
        <v>49</v>
      </c>
      <c r="N1" s="2" t="s">
        <v>41</v>
      </c>
      <c r="O1" s="2" t="s">
        <v>42</v>
      </c>
      <c r="P1" s="2" t="s">
        <v>50</v>
      </c>
    </row>
    <row r="2" spans="1:16" ht="39.6">
      <c r="A2" s="2">
        <v>1</v>
      </c>
      <c r="B2" s="2" t="s">
        <v>3</v>
      </c>
      <c r="C2" s="2" t="s">
        <v>24</v>
      </c>
      <c r="D2" s="2" t="s">
        <v>4</v>
      </c>
      <c r="E2" s="2" t="s">
        <v>6</v>
      </c>
      <c r="P2" s="2">
        <f>SUM(Tabella2[[#This Row],[Syntax (0-10)]:[Performance(0-10)]])</f>
        <v>0</v>
      </c>
    </row>
    <row r="3" spans="1:16" ht="79.2">
      <c r="A3" s="2">
        <v>1</v>
      </c>
      <c r="B3" s="2" t="s">
        <v>3</v>
      </c>
      <c r="C3" s="2" t="s">
        <v>24</v>
      </c>
      <c r="D3" s="2" t="s">
        <v>5</v>
      </c>
      <c r="E3" s="2" t="s">
        <v>9</v>
      </c>
      <c r="P3" s="2">
        <f>SUM(Tabella2[[#This Row],[Syntax (0-10)]:[Performance(0-10)]])</f>
        <v>0</v>
      </c>
    </row>
    <row r="4" spans="1:16" ht="39.6">
      <c r="A4" s="2">
        <v>2</v>
      </c>
      <c r="B4" s="2" t="s">
        <v>3</v>
      </c>
      <c r="C4" s="2" t="s">
        <v>25</v>
      </c>
      <c r="D4" s="2" t="s">
        <v>4</v>
      </c>
      <c r="E4" s="2" t="s">
        <v>7</v>
      </c>
      <c r="P4" s="2">
        <f>SUM(Tabella2[[#This Row],[Syntax (0-10)]:[Performance(0-10)]])</f>
        <v>0</v>
      </c>
    </row>
    <row r="5" spans="1:16" ht="79.2">
      <c r="A5" s="2">
        <v>2</v>
      </c>
      <c r="B5" s="2" t="s">
        <v>3</v>
      </c>
      <c r="C5" s="2" t="s">
        <v>25</v>
      </c>
      <c r="D5" s="2" t="s">
        <v>5</v>
      </c>
      <c r="E5" s="2" t="s">
        <v>8</v>
      </c>
      <c r="P5" s="2">
        <f>SUM(Tabella2[[#This Row],[Syntax (0-10)]:[Performance(0-10)]])</f>
        <v>0</v>
      </c>
    </row>
    <row r="6" spans="1:16" ht="39.6">
      <c r="A6" s="2">
        <v>3</v>
      </c>
      <c r="B6" s="2" t="s">
        <v>3</v>
      </c>
      <c r="C6" s="2" t="s">
        <v>26</v>
      </c>
      <c r="D6" s="2" t="s">
        <v>4</v>
      </c>
      <c r="E6" s="2" t="s">
        <v>10</v>
      </c>
      <c r="P6" s="2">
        <f>SUM(Tabella2[[#This Row],[Syntax (0-10)]:[Performance(0-10)]])</f>
        <v>0</v>
      </c>
    </row>
    <row r="7" spans="1:16" ht="79.2">
      <c r="A7" s="2">
        <v>3</v>
      </c>
      <c r="B7" s="2" t="s">
        <v>3</v>
      </c>
      <c r="C7" s="2" t="s">
        <v>26</v>
      </c>
      <c r="D7" s="2" t="s">
        <v>5</v>
      </c>
      <c r="E7" s="2" t="s">
        <v>11</v>
      </c>
      <c r="P7" s="2">
        <f>SUM(Tabella2[[#This Row],[Syntax (0-10)]:[Performance(0-10)]])</f>
        <v>0</v>
      </c>
    </row>
    <row r="8" spans="1:16" ht="55.2">
      <c r="A8" s="2">
        <v>4</v>
      </c>
      <c r="B8" s="3" t="s">
        <v>31</v>
      </c>
      <c r="C8" s="3" t="s">
        <v>27</v>
      </c>
      <c r="D8" s="2" t="s">
        <v>4</v>
      </c>
      <c r="E8" s="2" t="s">
        <v>12</v>
      </c>
      <c r="P8" s="2">
        <f>SUM(Tabella2[[#This Row],[Syntax (0-10)]:[Performance(0-10)]])</f>
        <v>0</v>
      </c>
    </row>
    <row r="9" spans="1:16" ht="92.4">
      <c r="A9" s="2">
        <v>4</v>
      </c>
      <c r="B9" s="3" t="s">
        <v>31</v>
      </c>
      <c r="C9" s="3" t="s">
        <v>27</v>
      </c>
      <c r="D9" s="2" t="s">
        <v>5</v>
      </c>
      <c r="E9" s="2" t="s">
        <v>43</v>
      </c>
      <c r="P9" s="2">
        <f>SUM(Tabella2[[#This Row],[Syntax (0-10)]:[Performance(0-10)]])</f>
        <v>0</v>
      </c>
    </row>
    <row r="10" spans="1:16" ht="55.2">
      <c r="A10" s="2">
        <v>5</v>
      </c>
      <c r="B10" s="3" t="s">
        <v>31</v>
      </c>
      <c r="C10" s="3" t="s">
        <v>28</v>
      </c>
      <c r="D10" s="2" t="s">
        <v>4</v>
      </c>
      <c r="E10" s="2" t="s">
        <v>13</v>
      </c>
      <c r="P10" s="2">
        <f>SUM(Tabella2[[#This Row],[Syntax (0-10)]:[Performance(0-10)]])</f>
        <v>0</v>
      </c>
    </row>
    <row r="11" spans="1:16" ht="105.6">
      <c r="A11" s="2">
        <v>5</v>
      </c>
      <c r="B11" s="3" t="s">
        <v>31</v>
      </c>
      <c r="C11" s="3" t="s">
        <v>28</v>
      </c>
      <c r="D11" s="2" t="s">
        <v>5</v>
      </c>
      <c r="E11" s="2" t="s">
        <v>45</v>
      </c>
      <c r="P11" s="2">
        <f>SUM(Tabella2[[#This Row],[Syntax (0-10)]:[Performance(0-10)]])</f>
        <v>0</v>
      </c>
    </row>
    <row r="12" spans="1:16" ht="52.8">
      <c r="A12" s="2">
        <v>6</v>
      </c>
      <c r="B12" s="2" t="s">
        <v>3</v>
      </c>
      <c r="C12" s="2" t="s">
        <v>29</v>
      </c>
      <c r="D12" s="2" t="s">
        <v>4</v>
      </c>
      <c r="E12" s="1" t="s">
        <v>14</v>
      </c>
      <c r="P12" s="2">
        <f>SUM(Tabella2[[#This Row],[Syntax (0-10)]:[Performance(0-10)]])</f>
        <v>0</v>
      </c>
    </row>
    <row r="13" spans="1:16" ht="92.4">
      <c r="A13" s="2">
        <v>6</v>
      </c>
      <c r="B13" s="2" t="s">
        <v>3</v>
      </c>
      <c r="C13" s="2" t="s">
        <v>29</v>
      </c>
      <c r="D13" s="2" t="s">
        <v>5</v>
      </c>
      <c r="E13" s="1" t="s">
        <v>15</v>
      </c>
      <c r="P13" s="2">
        <f>SUM(Tabella2[[#This Row],[Syntax (0-10)]:[Performance(0-10)]])</f>
        <v>0</v>
      </c>
    </row>
    <row r="14" spans="1:16" ht="39.6">
      <c r="A14" s="2">
        <v>7</v>
      </c>
      <c r="B14" s="3" t="s">
        <v>31</v>
      </c>
      <c r="C14" s="2" t="s">
        <v>30</v>
      </c>
      <c r="D14" s="2" t="s">
        <v>4</v>
      </c>
      <c r="E14" s="1" t="s">
        <v>16</v>
      </c>
      <c r="P14" s="2">
        <f>SUM(Tabella2[[#This Row],[Syntax (0-10)]:[Performance(0-10)]])</f>
        <v>0</v>
      </c>
    </row>
    <row r="15" spans="1:16" ht="92.4">
      <c r="A15" s="2">
        <v>7</v>
      </c>
      <c r="B15" s="3" t="s">
        <v>31</v>
      </c>
      <c r="C15" s="2" t="s">
        <v>30</v>
      </c>
      <c r="D15" s="2" t="s">
        <v>5</v>
      </c>
      <c r="E15" s="1" t="s">
        <v>46</v>
      </c>
      <c r="P15" s="2">
        <f>SUM(Tabella2[[#This Row],[Syntax (0-10)]:[Performance(0-10)]])</f>
        <v>0</v>
      </c>
    </row>
    <row r="16" spans="1:16" ht="66">
      <c r="A16" s="2">
        <v>8</v>
      </c>
      <c r="B16" s="2" t="s">
        <v>33</v>
      </c>
      <c r="C16" s="2" t="s">
        <v>32</v>
      </c>
      <c r="D16" s="2" t="s">
        <v>4</v>
      </c>
      <c r="E16" s="1" t="s">
        <v>17</v>
      </c>
      <c r="P16" s="2">
        <f>SUM(Tabella2[[#This Row],[Syntax (0-10)]:[Performance(0-10)]])</f>
        <v>0</v>
      </c>
    </row>
    <row r="17" spans="1:16" ht="105.6">
      <c r="A17" s="2">
        <v>8</v>
      </c>
      <c r="B17" s="2" t="s">
        <v>33</v>
      </c>
      <c r="C17" s="2" t="s">
        <v>32</v>
      </c>
      <c r="D17" s="2" t="s">
        <v>5</v>
      </c>
      <c r="E17" s="1" t="s">
        <v>47</v>
      </c>
      <c r="P17" s="2">
        <f>SUM(Tabella2[[#This Row],[Syntax (0-10)]:[Performance(0-10)]])</f>
        <v>0</v>
      </c>
    </row>
    <row r="18" spans="1:16" ht="66">
      <c r="A18" s="2">
        <v>9</v>
      </c>
      <c r="B18" s="2" t="s">
        <v>3</v>
      </c>
      <c r="C18" s="2" t="s">
        <v>34</v>
      </c>
      <c r="D18" s="2" t="s">
        <v>4</v>
      </c>
      <c r="E18" s="1" t="s">
        <v>18</v>
      </c>
      <c r="P18" s="2">
        <f>SUM(Tabella2[[#This Row],[Syntax (0-10)]:[Performance(0-10)]])</f>
        <v>0</v>
      </c>
    </row>
    <row r="19" spans="1:16" ht="105.6">
      <c r="A19" s="2">
        <v>9</v>
      </c>
      <c r="B19" s="2" t="s">
        <v>3</v>
      </c>
      <c r="C19" s="2" t="s">
        <v>34</v>
      </c>
      <c r="D19" s="2" t="s">
        <v>5</v>
      </c>
      <c r="E19" s="1" t="s">
        <v>19</v>
      </c>
      <c r="P19" s="2">
        <f>SUM(Tabella2[[#This Row],[Syntax (0-10)]:[Performance(0-10)]])</f>
        <v>0</v>
      </c>
    </row>
    <row r="20" spans="1:16" ht="66">
      <c r="A20" s="2">
        <v>10</v>
      </c>
      <c r="B20" s="2" t="s">
        <v>3</v>
      </c>
      <c r="C20" s="2" t="s">
        <v>35</v>
      </c>
      <c r="D20" s="2" t="s">
        <v>4</v>
      </c>
      <c r="E20" s="2" t="s">
        <v>20</v>
      </c>
      <c r="P20" s="2">
        <f>SUM(Tabella2[[#This Row],[Syntax (0-10)]:[Performance(0-10)]])</f>
        <v>0</v>
      </c>
    </row>
    <row r="21" spans="1:16" ht="92.4">
      <c r="A21" s="2">
        <v>10</v>
      </c>
      <c r="B21" s="2" t="s">
        <v>3</v>
      </c>
      <c r="C21" s="2" t="s">
        <v>35</v>
      </c>
      <c r="D21" s="2" t="s">
        <v>5</v>
      </c>
      <c r="E21" s="2" t="s">
        <v>21</v>
      </c>
      <c r="P21" s="2">
        <f>SUM(Tabella2[[#This Row],[Syntax (0-10)]:[Performance(0-10)]])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J19" sqref="J19"/>
    </sheetView>
  </sheetViews>
  <sheetFormatPr defaultRowHeight="13.8"/>
  <cols>
    <col min="1" max="1" width="21.8984375" bestFit="1" customWidth="1"/>
    <col min="2" max="2" width="29.5" bestFit="1" customWidth="1"/>
    <col min="3" max="3" width="7.296875" bestFit="1" customWidth="1"/>
    <col min="4" max="4" width="11" bestFit="1" customWidth="1"/>
    <col min="5" max="5" width="21.19921875" bestFit="1" customWidth="1"/>
    <col min="7" max="7" width="14.09765625" bestFit="1" customWidth="1"/>
    <col min="8" max="8" width="7.296875" bestFit="1" customWidth="1"/>
    <col min="9" max="9" width="11" bestFit="1" customWidth="1"/>
    <col min="10" max="10" width="7.3984375" bestFit="1" customWidth="1"/>
    <col min="11" max="11" width="14.796875" bestFit="1" customWidth="1"/>
  </cols>
  <sheetData>
    <row r="1" spans="1:11" ht="14.4" thickBot="1">
      <c r="A1" s="6" t="s">
        <v>70</v>
      </c>
      <c r="B1" s="6"/>
      <c r="C1" s="6"/>
      <c r="D1" s="6"/>
      <c r="E1" s="6"/>
      <c r="G1" s="7" t="s">
        <v>71</v>
      </c>
      <c r="H1" s="8"/>
      <c r="I1" s="8"/>
      <c r="J1" s="8"/>
      <c r="K1" s="9"/>
    </row>
    <row r="2" spans="1:11">
      <c r="A2" t="s">
        <v>51</v>
      </c>
      <c r="B2" t="s">
        <v>52</v>
      </c>
      <c r="C2" t="s">
        <v>4</v>
      </c>
      <c r="D2" t="s">
        <v>5</v>
      </c>
      <c r="E2" t="s">
        <v>53</v>
      </c>
      <c r="G2" t="s">
        <v>72</v>
      </c>
      <c r="H2" t="s">
        <v>4</v>
      </c>
      <c r="I2" t="s">
        <v>5</v>
      </c>
      <c r="J2" t="s">
        <v>73</v>
      </c>
      <c r="K2" t="s">
        <v>74</v>
      </c>
    </row>
    <row r="3" spans="1:11">
      <c r="A3" t="s">
        <v>54</v>
      </c>
      <c r="B3" t="s">
        <v>55</v>
      </c>
      <c r="C3">
        <f>AVERAGEIF(Foglio1!D:D,"Base",Foglio1!P:P)</f>
        <v>0</v>
      </c>
      <c r="D3">
        <f>AVERAGEIF(Foglio1!D:D,"Avanzato",Foglio1!P:P)</f>
        <v>0</v>
      </c>
      <c r="E3">
        <f>D3-C3</f>
        <v>0</v>
      </c>
      <c r="G3">
        <v>1</v>
      </c>
      <c r="H3">
        <f>AVERAGEIFS(Foglio1!P:P,Foglio1!A:A,G3,Foglio1!D:D,"Base")</f>
        <v>0</v>
      </c>
      <c r="I3">
        <f>AVERAGEIFS(Foglio1!P:P,Foglio1!A:A,G3,Foglio1!D:D,"Avanzato")</f>
        <v>0</v>
      </c>
      <c r="J3">
        <f>I3-H3</f>
        <v>0</v>
      </c>
      <c r="K3">
        <f>IF(I3&gt;H3,1,0)</f>
        <v>0</v>
      </c>
    </row>
    <row r="4" spans="1:11" s="4" customFormat="1">
      <c r="A4" t="s">
        <v>56</v>
      </c>
      <c r="B4" t="s">
        <v>57</v>
      </c>
      <c r="C4"/>
      <c r="D4"/>
      <c r="E4">
        <f>SUM(K3:K12)</f>
        <v>0</v>
      </c>
      <c r="G4">
        <v>2</v>
      </c>
      <c r="H4">
        <f>AVERAGEIFS(Foglio1!P:P,Foglio1!A:A,G4,Foglio1!D:D,"Base")</f>
        <v>0</v>
      </c>
      <c r="I4">
        <f>AVERAGEIFS(Foglio1!P:P,Foglio1!A:A,G4,Foglio1!D:D,"Avanzato")</f>
        <v>0</v>
      </c>
      <c r="J4">
        <f t="shared" ref="J4:J12" si="0">I4-H4</f>
        <v>0</v>
      </c>
      <c r="K4">
        <f t="shared" ref="K4:K12" si="1">IF(I4&gt;H4,1,0)</f>
        <v>0</v>
      </c>
    </row>
    <row r="5" spans="1:11">
      <c r="A5" s="4" t="s">
        <v>56</v>
      </c>
      <c r="B5" s="4" t="s">
        <v>58</v>
      </c>
      <c r="C5" s="4"/>
      <c r="D5" s="4"/>
      <c r="E5" s="4">
        <f>AVERAGE(K3:K12)</f>
        <v>0</v>
      </c>
      <c r="G5">
        <v>3</v>
      </c>
      <c r="H5">
        <f>AVERAGEIFS(Foglio1!P:P,Foglio1!A:A,G5,Foglio1!D:D,"Base")</f>
        <v>0</v>
      </c>
      <c r="I5">
        <f>AVERAGEIFS(Foglio1!P:P,Foglio1!A:A,G5,Foglio1!D:D,"Avanzato")</f>
        <v>0</v>
      </c>
      <c r="J5">
        <f t="shared" si="0"/>
        <v>0</v>
      </c>
      <c r="K5">
        <f t="shared" si="1"/>
        <v>0</v>
      </c>
    </row>
    <row r="6" spans="1:11">
      <c r="A6" t="s">
        <v>59</v>
      </c>
      <c r="B6" t="s">
        <v>60</v>
      </c>
      <c r="C6" t="e">
        <f>AVERAGEIF(Foglio1!$D:$D,"Base",Foglio1!F:F)</f>
        <v>#DIV/0!</v>
      </c>
      <c r="D6" t="e">
        <f>AVERAGEIF(Foglio1!$D:$D,"Avanzato",Foglio1!F:F)</f>
        <v>#DIV/0!</v>
      </c>
      <c r="E6" s="5" t="e">
        <f>D6-C6</f>
        <v>#DIV/0!</v>
      </c>
      <c r="G6">
        <v>4</v>
      </c>
      <c r="H6">
        <f>AVERAGEIFS(Foglio1!P:P,Foglio1!A:A,G6,Foglio1!D:D,"Base")</f>
        <v>0</v>
      </c>
      <c r="I6">
        <f>AVERAGEIFS(Foglio1!P:P,Foglio1!A:A,G6,Foglio1!D:D,"Avanzato")</f>
        <v>0</v>
      </c>
      <c r="J6">
        <f t="shared" si="0"/>
        <v>0</v>
      </c>
      <c r="K6">
        <f t="shared" si="1"/>
        <v>0</v>
      </c>
    </row>
    <row r="7" spans="1:11">
      <c r="A7" t="s">
        <v>59</v>
      </c>
      <c r="B7" t="s">
        <v>61</v>
      </c>
      <c r="C7" t="e">
        <f>AVERAGEIF(Foglio1!$D:$D,"Base",Foglio1!G:G)</f>
        <v>#DIV/0!</v>
      </c>
      <c r="D7" t="e">
        <f>AVERAGEIF(Foglio1!$D:$D,"Avanzato",Foglio1!G:G)</f>
        <v>#DIV/0!</v>
      </c>
      <c r="E7" t="e">
        <f>D7-C7</f>
        <v>#DIV/0!</v>
      </c>
      <c r="G7">
        <v>5</v>
      </c>
      <c r="H7">
        <f>AVERAGEIFS(Foglio1!P:P,Foglio1!A:A,G7,Foglio1!D:D,"Base")</f>
        <v>0</v>
      </c>
      <c r="I7">
        <f>AVERAGEIFS(Foglio1!P:P,Foglio1!A:A,G7,Foglio1!D:D,"Avanzato")</f>
        <v>0</v>
      </c>
      <c r="J7">
        <f t="shared" si="0"/>
        <v>0</v>
      </c>
      <c r="K7">
        <f t="shared" si="1"/>
        <v>0</v>
      </c>
    </row>
    <row r="8" spans="1:11">
      <c r="A8" t="s">
        <v>59</v>
      </c>
      <c r="B8" t="s">
        <v>62</v>
      </c>
      <c r="C8" t="e">
        <f>AVERAGEIF(Foglio1!$D:$D,"Base",Foglio1!H:H)</f>
        <v>#DIV/0!</v>
      </c>
      <c r="D8" t="e">
        <f>AVERAGEIF(Foglio1!$D:$D,"Avanzato",Foglio1!H:H)</f>
        <v>#DIV/0!</v>
      </c>
      <c r="E8" s="5" t="e">
        <f t="shared" ref="E8:E14" si="2">D8-C8</f>
        <v>#DIV/0!</v>
      </c>
      <c r="G8">
        <v>6</v>
      </c>
      <c r="H8">
        <f>AVERAGEIFS(Foglio1!P:P,Foglio1!A:A,G8,Foglio1!D:D,"Base")</f>
        <v>0</v>
      </c>
      <c r="I8">
        <f>AVERAGEIFS(Foglio1!P:P,Foglio1!A:A,G8,Foglio1!D:D,"Avanzato")</f>
        <v>0</v>
      </c>
      <c r="J8">
        <f t="shared" si="0"/>
        <v>0</v>
      </c>
      <c r="K8">
        <f t="shared" si="1"/>
        <v>0</v>
      </c>
    </row>
    <row r="9" spans="1:11">
      <c r="A9" t="s">
        <v>59</v>
      </c>
      <c r="B9" t="s">
        <v>63</v>
      </c>
      <c r="C9" t="e">
        <f>AVERAGEIF(Foglio1!$D:$D,"Base",Foglio1!I:I)</f>
        <v>#DIV/0!</v>
      </c>
      <c r="D9" t="e">
        <f>AVERAGEIF(Foglio1!$D:$D,"Avanzato",Foglio1!I:I)</f>
        <v>#DIV/0!</v>
      </c>
      <c r="E9" t="e">
        <f t="shared" si="2"/>
        <v>#DIV/0!</v>
      </c>
      <c r="G9">
        <v>7</v>
      </c>
      <c r="H9">
        <f>AVERAGEIFS(Foglio1!P:P,Foglio1!A:A,G9,Foglio1!D:D,"Base")</f>
        <v>0</v>
      </c>
      <c r="I9">
        <f>AVERAGEIFS(Foglio1!P:P,Foglio1!A:A,G9,Foglio1!D:D,"Avanzato")</f>
        <v>0</v>
      </c>
      <c r="J9">
        <f t="shared" si="0"/>
        <v>0</v>
      </c>
      <c r="K9">
        <f t="shared" si="1"/>
        <v>0</v>
      </c>
    </row>
    <row r="10" spans="1:11">
      <c r="A10" t="s">
        <v>59</v>
      </c>
      <c r="B10" t="s">
        <v>64</v>
      </c>
      <c r="C10" t="e">
        <f>AVERAGEIF(Foglio1!$D:$D,"Base",Foglio1!J:J)</f>
        <v>#DIV/0!</v>
      </c>
      <c r="D10" t="e">
        <f>AVERAGEIF(Foglio1!$D:$D,"Avanzato",Foglio1!J:J)</f>
        <v>#DIV/0!</v>
      </c>
      <c r="E10" s="5" t="e">
        <f t="shared" si="2"/>
        <v>#DIV/0!</v>
      </c>
      <c r="G10">
        <v>8</v>
      </c>
      <c r="H10">
        <f>AVERAGEIFS(Foglio1!P:P,Foglio1!A:A,G10,Foglio1!D:D,"Base")</f>
        <v>0</v>
      </c>
      <c r="I10">
        <f>AVERAGEIFS(Foglio1!P:P,Foglio1!A:A,G10,Foglio1!D:D,"Avanzato")</f>
        <v>0</v>
      </c>
      <c r="J10">
        <f t="shared" si="0"/>
        <v>0</v>
      </c>
      <c r="K10">
        <f t="shared" si="1"/>
        <v>0</v>
      </c>
    </row>
    <row r="11" spans="1:11">
      <c r="A11" t="s">
        <v>59</v>
      </c>
      <c r="B11" t="s">
        <v>65</v>
      </c>
      <c r="C11" t="e">
        <f>AVERAGEIF(Foglio1!$D:$D,"Base",Foglio1!K:K)</f>
        <v>#DIV/0!</v>
      </c>
      <c r="D11" t="e">
        <f>AVERAGEIF(Foglio1!$D:$D,"Avanzato",Foglio1!K:K)</f>
        <v>#DIV/0!</v>
      </c>
      <c r="E11" t="e">
        <f t="shared" si="2"/>
        <v>#DIV/0!</v>
      </c>
      <c r="G11">
        <v>9</v>
      </c>
      <c r="H11">
        <f>AVERAGEIFS(Foglio1!P:P,Foglio1!A:A,G11,Foglio1!D:D,"Base")</f>
        <v>0</v>
      </c>
      <c r="I11">
        <f>AVERAGEIFS(Foglio1!P:P,Foglio1!A:A,G11,Foglio1!D:D,"Avanzato")</f>
        <v>0</v>
      </c>
      <c r="J11">
        <f t="shared" si="0"/>
        <v>0</v>
      </c>
      <c r="K11">
        <f t="shared" si="1"/>
        <v>0</v>
      </c>
    </row>
    <row r="12" spans="1:11">
      <c r="A12" t="s">
        <v>59</v>
      </c>
      <c r="B12" t="s">
        <v>66</v>
      </c>
      <c r="C12" t="e">
        <f>AVERAGEIF(Foglio1!$D:$D,"Base",Foglio1!L:L)</f>
        <v>#DIV/0!</v>
      </c>
      <c r="D12" t="e">
        <f>AVERAGEIF(Foglio1!$D:$D,"Avanzato",Foglio1!L:L)</f>
        <v>#DIV/0!</v>
      </c>
      <c r="E12" s="5" t="e">
        <f t="shared" si="2"/>
        <v>#DIV/0!</v>
      </c>
      <c r="G12">
        <v>10</v>
      </c>
      <c r="H12">
        <f>AVERAGEIFS(Foglio1!P:P,Foglio1!A:A,G12,Foglio1!D:D,"Base")</f>
        <v>0</v>
      </c>
      <c r="I12">
        <f>AVERAGEIFS(Foglio1!P:P,Foglio1!A:A,G12,Foglio1!D:D,"Avanzato")</f>
        <v>0</v>
      </c>
      <c r="J12">
        <f t="shared" si="0"/>
        <v>0</v>
      </c>
      <c r="K12">
        <f t="shared" si="1"/>
        <v>0</v>
      </c>
    </row>
    <row r="13" spans="1:11">
      <c r="A13" t="s">
        <v>59</v>
      </c>
      <c r="B13" t="s">
        <v>67</v>
      </c>
      <c r="C13" t="e">
        <f>AVERAGEIF(Foglio1!$D:$D,"Base",Foglio1!M:M)</f>
        <v>#DIV/0!</v>
      </c>
      <c r="D13" t="e">
        <f>AVERAGEIF(Foglio1!$D:$D,"Avanzato",Foglio1!M:M)</f>
        <v>#DIV/0!</v>
      </c>
      <c r="E13" t="e">
        <f t="shared" si="2"/>
        <v>#DIV/0!</v>
      </c>
    </row>
    <row r="14" spans="1:11">
      <c r="A14" t="s">
        <v>59</v>
      </c>
      <c r="B14" t="s">
        <v>68</v>
      </c>
      <c r="C14" t="e">
        <f>AVERAGEIF(Foglio1!$D:$D,"Base",Foglio1!N:N)</f>
        <v>#DIV/0!</v>
      </c>
      <c r="D14" t="e">
        <f>AVERAGEIF(Foglio1!$D:$D,"Avanzato",Foglio1!N:N)</f>
        <v>#DIV/0!</v>
      </c>
      <c r="E14" s="5" t="e">
        <f t="shared" si="2"/>
        <v>#DIV/0!</v>
      </c>
    </row>
    <row r="15" spans="1:11">
      <c r="A15" t="s">
        <v>59</v>
      </c>
      <c r="B15" t="s">
        <v>69</v>
      </c>
      <c r="C15" t="e">
        <f>AVERAGEIF(Foglio1!$D:$D,"Base",Foglio1!O:O)</f>
        <v>#DIV/0!</v>
      </c>
      <c r="D15" t="e">
        <f>AVERAGEIF(Foglio1!$D:$D,"Avanzato",Foglio1!O:O)</f>
        <v>#DIV/0!</v>
      </c>
      <c r="E15" t="e">
        <f>D15-C15</f>
        <v>#DIV/0!</v>
      </c>
    </row>
  </sheetData>
  <mergeCells count="2">
    <mergeCell ref="A1:E1"/>
    <mergeCell ref="G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Pivari</dc:creator>
  <cp:lastModifiedBy>Matteo P</cp:lastModifiedBy>
  <dcterms:created xsi:type="dcterms:W3CDTF">2026-04-01T15:19:23Z</dcterms:created>
  <dcterms:modified xsi:type="dcterms:W3CDTF">2026-04-26T10:42:00Z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667f7-2fe6-43b0-81e0-ae58395da5a8_Enabled">
    <vt:lpwstr>true</vt:lpwstr>
  </property>
  <property fmtid="{D5CDD505-2E9C-101B-9397-08002B2CF9AE}" pid="3" name="MSIP_Label_b99667f7-2fe6-43b0-81e0-ae58395da5a8_SetDate">
    <vt:lpwstr>2026-04-01T15:40:28Z</vt:lpwstr>
  </property>
  <property fmtid="{D5CDD505-2E9C-101B-9397-08002B2CF9AE}" pid="4" name="MSIP_Label_b99667f7-2fe6-43b0-81e0-ae58395da5a8_Method">
    <vt:lpwstr>Standard</vt:lpwstr>
  </property>
  <property fmtid="{D5CDD505-2E9C-101B-9397-08002B2CF9AE}" pid="5" name="MSIP_Label_b99667f7-2fe6-43b0-81e0-ae58395da5a8_Name">
    <vt:lpwstr>defa4170-0d19-0005-0001-bc88714345d2</vt:lpwstr>
  </property>
  <property fmtid="{D5CDD505-2E9C-101B-9397-08002B2CF9AE}" pid="6" name="MSIP_Label_b99667f7-2fe6-43b0-81e0-ae58395da5a8_SiteId">
    <vt:lpwstr>c8e07ca8-e73d-417e-83cd-612d1b28dc0e</vt:lpwstr>
  </property>
  <property fmtid="{D5CDD505-2E9C-101B-9397-08002B2CF9AE}" pid="7" name="MSIP_Label_b99667f7-2fe6-43b0-81e0-ae58395da5a8_ActionId">
    <vt:lpwstr>a3bac0e4-5f22-439b-a5dc-f8046823de8c</vt:lpwstr>
  </property>
  <property fmtid="{D5CDD505-2E9C-101B-9397-08002B2CF9AE}" pid="8" name="MSIP_Label_b99667f7-2fe6-43b0-81e0-ae58395da5a8_ContentBits">
    <vt:lpwstr>0</vt:lpwstr>
  </property>
  <property fmtid="{D5CDD505-2E9C-101B-9397-08002B2CF9AE}" pid="9" name="MSIP_Label_b99667f7-2fe6-43b0-81e0-ae58395da5a8_Tag">
    <vt:lpwstr>10, 3, 0, 1</vt:lpwstr>
  </property>
</Properties>
</file>